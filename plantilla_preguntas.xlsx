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egun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" authorId="0">
      <text>
        <r>
          <rPr>
            <sz val="10"/>
            <rFont val="Arial"/>
            <family val="2"/>
          </rPr>
          <t xml:space="preserve">Valor fijo: 50 preguntas por estudiante ÷ 5 niveles = 10 (configurable en Ajustes del panel).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Fila de EJEMPLO: bórrala o reemplázala por tu primera pregunta.</t>
        </r>
      </text>
    </comment>
  </commentList>
</comments>
</file>

<file path=xl/sharedStrings.xml><?xml version="1.0" encoding="utf-8"?>
<sst xmlns="http://schemas.openxmlformats.org/spreadsheetml/2006/main" count="35" uniqueCount="35">
  <si>
    <t xml:space="preserve">Banco de preguntas · Parcial Petróleo y Gas UCAB</t>
  </si>
  <si>
    <t xml:space="preserve">1. Llena la hoja «Preguntas», una pregunta por fila (las celdas amarillas). Borra la fila de ejemplo (fila 2).</t>
  </si>
  <si>
    <t xml:space="preserve">2. tema: área de la pregunta (ej.: Perforación, Yacimientos). Se usa para el análisis por tema.</t>
  </si>
  <si>
    <t xml:space="preserve">3. opcion_a … opcion_d: las alternativas. Puedes usar 2, 3 o 4; deja vacías las últimas que no uses.</t>
  </si>
  <si>
    <t xml:space="preserve">4. correcta: la letra de la opción correcta (A, B, C o D).</t>
  </si>
  <si>
    <t xml:space="preserve">5. dificultad: 1 (básica) a 5 (avanzada). Es también el valor en puntos de la pregunta.</t>
  </si>
  <si>
    <t xml:space="preserve">6. No te preocupes por el orden de las opciones: el sistema las baraja para cada estudiante.</t>
  </si>
  <si>
    <t xml:space="preserve">7. Guarda: Archivo → Guardar como → «CSV UTF-8 (delimitado por comas)».</t>
  </si>
  <si>
    <t xml:space="preserve">8. En el panel del profesor → Banco de preguntas → arrastra el CSV → Cargar preguntas.</t>
  </si>
  <si>
    <t xml:space="preserve">Cobertura por nivel (se actualiza sola)</t>
  </si>
  <si>
    <t xml:space="preserve">Nivel</t>
  </si>
  <si>
    <t xml:space="preserve">Preguntas</t>
  </si>
  <si>
    <t xml:space="preserve">Mínimo recomendado</t>
  </si>
  <si>
    <t xml:space="preserve">Nivel 1 (1 punto)</t>
  </si>
  <si>
    <t xml:space="preserve">Nivel 2 (2 puntos)</t>
  </si>
  <si>
    <t xml:space="preserve">Nivel 3 (3 puntos)</t>
  </si>
  <si>
    <t xml:space="preserve">Nivel 4 (4 puntos)</t>
  </si>
  <si>
    <t xml:space="preserve">Nivel 5 (5 puntos)</t>
  </si>
  <si>
    <t xml:space="preserve">Total</t>
  </si>
  <si>
    <t xml:space="preserve">Mínimo recomendado: cada estudiante recibe 10 preguntas por nivel (50 en total). Con 200 preguntas, lo ideal son 40 por nivel.</t>
  </si>
  <si>
    <t xml:space="preserve">tema</t>
  </si>
  <si>
    <t xml:space="preserve">enunciado</t>
  </si>
  <si>
    <t xml:space="preserve">opcion_a</t>
  </si>
  <si>
    <t xml:space="preserve">opcion_b</t>
  </si>
  <si>
    <t xml:space="preserve">opcion_c</t>
  </si>
  <si>
    <t xml:space="preserve">opcion_d</t>
  </si>
  <si>
    <t xml:space="preserve">correcta</t>
  </si>
  <si>
    <t xml:space="preserve">dificultad</t>
  </si>
  <si>
    <t xml:space="preserve">Propiedades de fluidos</t>
  </si>
  <si>
    <t xml:space="preserve">¿Qué mide la escala API?</t>
  </si>
  <si>
    <t xml:space="preserve">Viscosidad</t>
  </si>
  <si>
    <t xml:space="preserve">Densidad relativa del crudo</t>
  </si>
  <si>
    <t xml:space="preserve">Contenido de azufre</t>
  </si>
  <si>
    <t xml:space="preserve">Punto de inflamación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</si>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</sst>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1F55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A1F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7A9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1F55"/>
        <bgColor rgb="FF000080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2"/>
      <rgbColor rgb="FF9999FF"/>
      <rgbColor rgb="FF993366"/>
      <rgbColor rgb="FFFFF8D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1F5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B5" s="2" t="s">
        <v>2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B6" s="2" t="s">
        <v>3</v>
      </c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B7" s="2" t="s">
        <v>4</v>
      </c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B8" s="2" t="s">
        <v>5</v>
      </c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B9" s="2" t="s">
        <v>6</v>
      </c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B10" s="2" t="s">
        <v>7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B11" s="2" t="s">
        <v>8</v>
      </c>
      <c r="C11" s="2"/>
      <c r="D11" s="2"/>
      <c r="E11" s="2"/>
      <c r="F11" s="2"/>
      <c r="G11" s="2"/>
      <c r="H11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4" t="s">
        <v>10</v>
      </c>
      <c r="C15" s="4" t="s">
        <v>11</v>
      </c>
      <c r="D15" s="4" t="s">
        <v>12</v>
      </c>
    </row>
    <row r="16" customFormat="false" ht="15" hidden="false" customHeight="false" outlineLevel="0" collapsed="false">
      <c r="B16" s="5" t="s">
        <v>13</v>
      </c>
      <c r="C16" s="6" t="n">
        <f aca="false">COUNTIFS(Preguntas!$H$3:$H$1000,1,Preguntas!$B$3:$B$1000,"&lt;&gt;")</f>
        <v>0</v>
      </c>
      <c r="D16" s="7" t="n">
        <v>10</v>
      </c>
    </row>
    <row r="17" customFormat="false" ht="15" hidden="false" customHeight="false" outlineLevel="0" collapsed="false">
      <c r="B17" s="5" t="s">
        <v>14</v>
      </c>
      <c r="C17" s="6" t="n">
        <f aca="false">COUNTIFS(Preguntas!$H$3:$H$1000,2,Preguntas!$B$3:$B$1000,"&lt;&gt;")</f>
        <v>0</v>
      </c>
      <c r="D17" s="7" t="n">
        <v>10</v>
      </c>
    </row>
    <row r="18" customFormat="false" ht="15" hidden="false" customHeight="false" outlineLevel="0" collapsed="false">
      <c r="B18" s="5" t="s">
        <v>15</v>
      </c>
      <c r="C18" s="6" t="n">
        <f aca="false">COUNTIFS(Preguntas!$H$3:$H$1000,3,Preguntas!$B$3:$B$1000,"&lt;&gt;")</f>
        <v>0</v>
      </c>
      <c r="D18" s="7" t="n">
        <v>10</v>
      </c>
    </row>
    <row r="19" customFormat="false" ht="15" hidden="false" customHeight="false" outlineLevel="0" collapsed="false">
      <c r="B19" s="5" t="s">
        <v>16</v>
      </c>
      <c r="C19" s="6" t="n">
        <f aca="false">COUNTIFS(Preguntas!$H$3:$H$1000,4,Preguntas!$B$3:$B$1000,"&lt;&gt;")</f>
        <v>0</v>
      </c>
      <c r="D19" s="7" t="n">
        <v>10</v>
      </c>
    </row>
    <row r="20" customFormat="false" ht="15" hidden="false" customHeight="false" outlineLevel="0" collapsed="false">
      <c r="B20" s="5" t="s">
        <v>17</v>
      </c>
      <c r="C20" s="6" t="n">
        <f aca="false">COUNTIFS(Preguntas!$H$3:$H$1000,5,Preguntas!$B$3:$B$1000,"&lt;&gt;")</f>
        <v>0</v>
      </c>
      <c r="D20" s="7" t="n">
        <v>10</v>
      </c>
    </row>
    <row r="21" customFormat="false" ht="15" hidden="false" customHeight="false" outlineLevel="0" collapsed="false">
      <c r="B21" s="8" t="s">
        <v>18</v>
      </c>
      <c r="C21" s="9" t="n">
        <f aca="false">SUM(C16:C20)</f>
        <v>0</v>
      </c>
    </row>
    <row r="23" customFormat="false" ht="15" hidden="false" customHeight="false" outlineLevel="0" collapsed="false">
      <c r="B23" s="10" t="s">
        <v>19</v>
      </c>
      <c r="C23" s="10"/>
      <c r="D23" s="10"/>
      <c r="E23" s="10"/>
      <c r="F23" s="10"/>
      <c r="G23" s="10"/>
      <c r="H23" s="10"/>
    </row>
  </sheetData>
  <mergeCells count="9">
    <mergeCell ref="B4:H4"/>
    <mergeCell ref="B5:H5"/>
    <mergeCell ref="B6:H6"/>
    <mergeCell ref="B7:H7"/>
    <mergeCell ref="B8:H8"/>
    <mergeCell ref="B9:H9"/>
    <mergeCell ref="B10:H10"/>
    <mergeCell ref="B11:H11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6" min="3" style="0" width="30"/>
    <col collapsed="false" customWidth="true" hidden="false" outlineLevel="0" max="8" min="7" style="0" width="11"/>
  </cols>
  <sheetData>
    <row r="1" customFormat="false" ht="21.75" hidden="false" customHeight="true" outlineLevel="0" collapsed="false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</row>
    <row r="2" customFormat="false" ht="15" hidden="false" customHeight="false" outlineLevel="0" collapsed="false">
      <c r="A2" s="12" t="s">
        <v>28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n">
        <v>3</v>
      </c>
    </row>
    <row r="3" customFormat="false" ht="15" hidden="false" customHeight="false" outlineLevel="0" collapsed="false">
      <c r="A3" s="13"/>
      <c r="B3" s="14"/>
      <c r="C3" s="14"/>
      <c r="D3" s="14"/>
      <c r="E3" s="14"/>
      <c r="F3" s="14"/>
      <c r="G3" s="15"/>
      <c r="H3" s="15"/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5"/>
      <c r="H4" s="15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5"/>
      <c r="H5" s="15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5"/>
      <c r="H6" s="15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5"/>
      <c r="H7" s="15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5"/>
      <c r="H8" s="15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5"/>
      <c r="H9" s="15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5"/>
      <c r="H10" s="15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5"/>
      <c r="H11" s="15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5"/>
      <c r="H12" s="15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5"/>
      <c r="H13" s="15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5"/>
      <c r="H14" s="15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5"/>
      <c r="H15" s="15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5"/>
      <c r="H16" s="15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5"/>
      <c r="H17" s="15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5"/>
      <c r="H18" s="15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5"/>
      <c r="H19" s="15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5"/>
      <c r="H20" s="15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5"/>
      <c r="H21" s="15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5"/>
      <c r="H22" s="15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5"/>
      <c r="H23" s="15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5"/>
      <c r="H24" s="15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5"/>
      <c r="H25" s="15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5"/>
      <c r="H26" s="15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5"/>
      <c r="H27" s="15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5"/>
      <c r="H28" s="15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5"/>
      <c r="H29" s="15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5"/>
      <c r="H30" s="15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5"/>
      <c r="H31" s="15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5"/>
      <c r="H32" s="15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5"/>
      <c r="H33" s="15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5"/>
      <c r="H34" s="15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5"/>
      <c r="H35" s="15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5"/>
      <c r="H36" s="15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5"/>
      <c r="H37" s="15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5"/>
      <c r="H38" s="15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5"/>
      <c r="H39" s="15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5"/>
      <c r="H40" s="15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4"/>
      <c r="G41" s="15"/>
      <c r="H41" s="15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4"/>
      <c r="G42" s="15"/>
      <c r="H42" s="15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4"/>
      <c r="G43" s="15"/>
      <c r="H43" s="15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4"/>
      <c r="G44" s="15"/>
      <c r="H44" s="15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4"/>
      <c r="G45" s="15"/>
      <c r="H45" s="15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4"/>
      <c r="G46" s="15"/>
      <c r="H46" s="15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4"/>
      <c r="G47" s="15"/>
      <c r="H47" s="15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4"/>
      <c r="G48" s="15"/>
      <c r="H48" s="15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4"/>
      <c r="G49" s="15"/>
      <c r="H49" s="15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4"/>
      <c r="G50" s="15"/>
      <c r="H50" s="15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4"/>
      <c r="G51" s="15"/>
      <c r="H51" s="15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4"/>
      <c r="G52" s="15"/>
      <c r="H52" s="15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4"/>
      <c r="G53" s="15"/>
      <c r="H53" s="15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4"/>
      <c r="G54" s="15"/>
      <c r="H54" s="15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4"/>
      <c r="G55" s="15"/>
      <c r="H55" s="15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5"/>
      <c r="H56" s="15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4"/>
      <c r="G57" s="15"/>
      <c r="H57" s="15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4"/>
      <c r="G58" s="15"/>
      <c r="H58" s="15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4"/>
      <c r="G59" s="15"/>
      <c r="H59" s="15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4"/>
      <c r="G60" s="15"/>
      <c r="H60" s="15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4"/>
      <c r="G61" s="15"/>
      <c r="H61" s="15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4"/>
      <c r="G62" s="15"/>
      <c r="H62" s="15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4"/>
      <c r="G63" s="15"/>
      <c r="H63" s="15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4"/>
      <c r="G64" s="15"/>
      <c r="H64" s="15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4"/>
      <c r="G65" s="15"/>
      <c r="H65" s="15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4"/>
      <c r="G66" s="15"/>
      <c r="H66" s="15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4"/>
      <c r="G67" s="15"/>
      <c r="H67" s="15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4"/>
      <c r="G68" s="15"/>
      <c r="H68" s="15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4"/>
      <c r="G69" s="15"/>
      <c r="H69" s="15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4"/>
      <c r="G70" s="15"/>
      <c r="H70" s="15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4"/>
      <c r="G71" s="15"/>
      <c r="H71" s="15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4"/>
      <c r="G72" s="15"/>
      <c r="H72" s="15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4"/>
      <c r="G73" s="15"/>
      <c r="H73" s="15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4"/>
      <c r="G74" s="15"/>
      <c r="H74" s="15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4"/>
      <c r="G75" s="15"/>
      <c r="H75" s="15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4"/>
      <c r="G76" s="15"/>
      <c r="H76" s="15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4"/>
      <c r="G77" s="15"/>
      <c r="H77" s="15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4"/>
      <c r="G78" s="15"/>
      <c r="H78" s="15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4"/>
      <c r="G79" s="15"/>
      <c r="H79" s="15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4"/>
      <c r="G80" s="15"/>
      <c r="H80" s="15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4"/>
      <c r="G81" s="15"/>
      <c r="H81" s="15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4"/>
      <c r="G82" s="15"/>
      <c r="H82" s="15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4"/>
      <c r="G83" s="15"/>
      <c r="H83" s="15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4"/>
      <c r="G84" s="15"/>
      <c r="H84" s="15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4"/>
      <c r="G85" s="15"/>
      <c r="H85" s="15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4"/>
      <c r="G86" s="15"/>
      <c r="H86" s="15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4"/>
      <c r="G87" s="15"/>
      <c r="H87" s="15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4"/>
      <c r="G88" s="15"/>
      <c r="H88" s="15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4"/>
      <c r="G89" s="15"/>
      <c r="H89" s="15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4"/>
      <c r="G90" s="15"/>
      <c r="H90" s="15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4"/>
      <c r="G91" s="15"/>
      <c r="H91" s="15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4"/>
      <c r="G92" s="15"/>
      <c r="H92" s="15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4"/>
      <c r="G93" s="15"/>
      <c r="H93" s="15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4"/>
      <c r="G94" s="15"/>
      <c r="H94" s="15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4"/>
      <c r="G95" s="15"/>
      <c r="H95" s="15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4"/>
      <c r="G96" s="15"/>
      <c r="H96" s="15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4"/>
      <c r="G97" s="15"/>
      <c r="H97" s="15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4"/>
      <c r="G98" s="15"/>
      <c r="H98" s="15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4"/>
      <c r="G99" s="15"/>
      <c r="H99" s="15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4"/>
      <c r="G100" s="15"/>
      <c r="H100" s="15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4"/>
      <c r="G101" s="15"/>
      <c r="H101" s="15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4"/>
      <c r="G102" s="15"/>
      <c r="H102" s="15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4"/>
      <c r="G103" s="15"/>
      <c r="H103" s="15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4"/>
      <c r="G104" s="15"/>
      <c r="H104" s="15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4"/>
      <c r="G105" s="15"/>
      <c r="H105" s="15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4"/>
      <c r="G106" s="15"/>
      <c r="H106" s="15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4"/>
      <c r="G107" s="15"/>
      <c r="H107" s="15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4"/>
      <c r="G108" s="15"/>
      <c r="H108" s="15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4"/>
      <c r="G109" s="15"/>
      <c r="H109" s="15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4"/>
      <c r="G110" s="15"/>
      <c r="H110" s="15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4"/>
      <c r="G111" s="15"/>
      <c r="H111" s="15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4"/>
      <c r="G112" s="15"/>
      <c r="H112" s="15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4"/>
      <c r="G113" s="15"/>
      <c r="H113" s="15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4"/>
      <c r="G114" s="15"/>
      <c r="H114" s="15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4"/>
      <c r="G115" s="15"/>
      <c r="H115" s="15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4"/>
      <c r="G116" s="15"/>
      <c r="H116" s="15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4"/>
      <c r="G117" s="15"/>
      <c r="H117" s="15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4"/>
      <c r="G118" s="15"/>
      <c r="H118" s="15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4"/>
      <c r="G119" s="15"/>
      <c r="H119" s="15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4"/>
      <c r="G120" s="15"/>
      <c r="H120" s="15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4"/>
      <c r="G121" s="15"/>
      <c r="H121" s="15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4"/>
      <c r="G122" s="15"/>
      <c r="H122" s="15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4"/>
      <c r="G123" s="15"/>
      <c r="H123" s="15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4"/>
      <c r="G124" s="15"/>
      <c r="H124" s="15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4"/>
      <c r="G125" s="15"/>
      <c r="H125" s="15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4"/>
      <c r="G126" s="15"/>
      <c r="H126" s="15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4"/>
      <c r="G127" s="15"/>
      <c r="H127" s="15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4"/>
      <c r="G128" s="15"/>
      <c r="H128" s="15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4"/>
      <c r="G129" s="15"/>
      <c r="H129" s="15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4"/>
      <c r="G130" s="15"/>
      <c r="H130" s="15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4"/>
      <c r="G131" s="15"/>
      <c r="H131" s="15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4"/>
      <c r="G132" s="15"/>
      <c r="H132" s="15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4"/>
      <c r="G133" s="15"/>
      <c r="H133" s="15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4"/>
      <c r="G134" s="15"/>
      <c r="H134" s="15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4"/>
      <c r="G135" s="15"/>
      <c r="H135" s="15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4"/>
      <c r="G136" s="15"/>
      <c r="H136" s="15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4"/>
      <c r="G137" s="15"/>
      <c r="H137" s="15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4"/>
      <c r="G138" s="15"/>
      <c r="H138" s="15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4"/>
      <c r="G139" s="15"/>
      <c r="H139" s="15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4"/>
      <c r="G140" s="15"/>
      <c r="H140" s="15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4"/>
      <c r="G141" s="15"/>
      <c r="H141" s="15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4"/>
      <c r="G142" s="15"/>
      <c r="H142" s="15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4"/>
      <c r="G143" s="15"/>
      <c r="H143" s="15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4"/>
      <c r="G144" s="15"/>
      <c r="H144" s="15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4"/>
      <c r="G145" s="15"/>
      <c r="H145" s="15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4"/>
      <c r="G146" s="15"/>
      <c r="H146" s="15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4"/>
      <c r="G147" s="15"/>
      <c r="H147" s="15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4"/>
      <c r="G148" s="15"/>
      <c r="H148" s="15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4"/>
      <c r="G149" s="15"/>
      <c r="H149" s="15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4"/>
      <c r="G150" s="15"/>
      <c r="H150" s="15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4"/>
      <c r="G151" s="15"/>
      <c r="H151" s="15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4"/>
      <c r="G152" s="15"/>
      <c r="H152" s="15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4"/>
      <c r="G153" s="15"/>
      <c r="H153" s="15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4"/>
      <c r="G154" s="15"/>
      <c r="H154" s="15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4"/>
      <c r="G155" s="15"/>
      <c r="H155" s="15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4"/>
      <c r="G156" s="15"/>
      <c r="H156" s="15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4"/>
      <c r="G157" s="15"/>
      <c r="H157" s="15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4"/>
      <c r="G158" s="15"/>
      <c r="H158" s="15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4"/>
      <c r="G159" s="15"/>
      <c r="H159" s="15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4"/>
      <c r="G160" s="15"/>
      <c r="H160" s="15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4"/>
      <c r="G161" s="15"/>
      <c r="H161" s="15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4"/>
      <c r="G162" s="15"/>
      <c r="H162" s="15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4"/>
      <c r="G163" s="15"/>
      <c r="H163" s="15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4"/>
      <c r="G164" s="15"/>
      <c r="H164" s="15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4"/>
      <c r="G165" s="15"/>
      <c r="H165" s="15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4"/>
      <c r="G166" s="15"/>
      <c r="H166" s="15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4"/>
      <c r="G167" s="15"/>
      <c r="H167" s="15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4"/>
      <c r="G168" s="15"/>
      <c r="H168" s="15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4"/>
      <c r="G169" s="15"/>
      <c r="H169" s="15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4"/>
      <c r="G170" s="15"/>
      <c r="H170" s="15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4"/>
      <c r="G171" s="15"/>
      <c r="H171" s="15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4"/>
      <c r="G172" s="15"/>
      <c r="H172" s="15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4"/>
      <c r="G173" s="15"/>
      <c r="H173" s="15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4"/>
      <c r="G174" s="15"/>
      <c r="H174" s="15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4"/>
      <c r="G175" s="15"/>
      <c r="H175" s="15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4"/>
      <c r="G176" s="15"/>
      <c r="H176" s="15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4"/>
      <c r="G177" s="15"/>
      <c r="H177" s="15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4"/>
      <c r="G178" s="15"/>
      <c r="H178" s="15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4"/>
      <c r="G179" s="15"/>
      <c r="H179" s="15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4"/>
      <c r="G180" s="15"/>
      <c r="H180" s="15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4"/>
      <c r="G181" s="15"/>
      <c r="H181" s="15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4"/>
      <c r="G182" s="15"/>
      <c r="H182" s="15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4"/>
      <c r="G183" s="15"/>
      <c r="H183" s="15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4"/>
      <c r="G184" s="15"/>
      <c r="H184" s="15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4"/>
      <c r="G185" s="15"/>
      <c r="H185" s="15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4"/>
      <c r="G186" s="15"/>
      <c r="H186" s="15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4"/>
      <c r="G187" s="15"/>
      <c r="H187" s="15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4"/>
      <c r="G188" s="15"/>
      <c r="H188" s="15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4"/>
      <c r="G189" s="15"/>
      <c r="H189" s="15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4"/>
      <c r="G190" s="15"/>
      <c r="H190" s="15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4"/>
      <c r="G191" s="15"/>
      <c r="H191" s="15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4"/>
      <c r="G192" s="15"/>
      <c r="H192" s="15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4"/>
      <c r="G193" s="15"/>
      <c r="H193" s="15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4"/>
      <c r="G194" s="15"/>
      <c r="H194" s="15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4"/>
      <c r="G195" s="15"/>
      <c r="H195" s="15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4"/>
      <c r="G196" s="15"/>
      <c r="H196" s="15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4"/>
      <c r="G197" s="15"/>
      <c r="H197" s="15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4"/>
      <c r="G198" s="15"/>
      <c r="H198" s="15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4"/>
      <c r="G199" s="15"/>
      <c r="H199" s="15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4"/>
      <c r="G200" s="15"/>
      <c r="H200" s="15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4"/>
      <c r="G201" s="15"/>
      <c r="H201" s="15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4"/>
      <c r="G202" s="15"/>
      <c r="H202" s="15"/>
    </row>
  </sheetData>
  <dataValidations count="2">
    <dataValidation allowBlank="true" error="Escribe A, B, C o D." errorStyle="stop" errorTitle="Respuesta correcta" operator="between" showDropDown="false" showErrorMessage="true" showInputMessage="false" sqref="G2:G502" type="list">
      <formula1>"A,B,C,D"</formula1>
      <formula2>0</formula2>
    </dataValidation>
    <dataValidation allowBlank="true" error="La dificultad debe ser un número entero del 1 al 5." errorStyle="stop" errorTitle="Dificultad" operator="between" showDropDown="false" showErrorMessage="true" showInputMessage="false" sqref="H2:H50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2026-10-19T13:44:33Z</dcterms:created>
  <dc:creator>openpyxl</dc:creator>
  <dc:description/>
  <dc:language>en-US</dc:language>
  <cp:lastModifiedBy/>
  <dcterms:modified xsi:type="dcterms:W3CDTF">2026-10-19T13:44:33Z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